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adam/Projekty/bakalarska-prace/BP/tests/excel/formatting/test_conditional_formatting_is_correct_check/"/>
    </mc:Choice>
  </mc:AlternateContent>
  <xr:revisionPtr revIDLastSave="0" documentId="13_ncr:1_{1A9932DD-EFB9-3A45-A12F-00308E497C8B}" xr6:coauthVersionLast="47" xr6:coauthVersionMax="47" xr10:uidLastSave="{00000000-0000-0000-0000-000000000000}"/>
  <bookViews>
    <workbookView xWindow="0" yWindow="680" windowWidth="34200" windowHeight="20020" activeTab="1" xr2:uid="{00000000-000D-0000-FFFF-FFFF00000000}"/>
  </bookViews>
  <sheets>
    <sheet name="zdroj" sheetId="2" r:id="rId1"/>
    <sheet name="data" sheetId="1" r:id="rId2"/>
  </sheets>
  <definedNames>
    <definedName name="hodnota">data!$E$28</definedName>
    <definedName name="pole">data!$E$30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1" l="1"/>
  <c r="E29" i="1"/>
  <c r="C28" i="1"/>
  <c r="D28" i="1"/>
  <c r="E28" i="1"/>
  <c r="B29" i="1"/>
  <c r="C29" i="1"/>
  <c r="D29" i="1"/>
  <c r="D30" i="1"/>
  <c r="E23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" i="1"/>
  <c r="E30" i="1" l="1"/>
  <c r="B30" i="1"/>
  <c r="C30" i="1"/>
  <c r="F20" i="1" l="1"/>
  <c r="F2" i="1"/>
  <c r="F8" i="1"/>
  <c r="F12" i="1"/>
  <c r="F13" i="1"/>
  <c r="F16" i="1"/>
  <c r="F17" i="1"/>
  <c r="F18" i="1"/>
  <c r="F19" i="1"/>
  <c r="F21" i="1"/>
  <c r="F22" i="1"/>
  <c r="F11" i="1"/>
  <c r="F10" i="1"/>
  <c r="F9" i="1"/>
  <c r="F3" i="1"/>
  <c r="F4" i="1"/>
  <c r="F6" i="1"/>
  <c r="F7" i="1"/>
  <c r="F5" i="1"/>
  <c r="F14" i="1"/>
  <c r="F23" i="1"/>
  <c r="F15" i="1"/>
</calcChain>
</file>

<file path=xl/sharedStrings.xml><?xml version="1.0" encoding="utf-8"?>
<sst xmlns="http://schemas.openxmlformats.org/spreadsheetml/2006/main" count="35" uniqueCount="14">
  <si>
    <t>Pacient</t>
  </si>
  <si>
    <t>Pohlaví</t>
  </si>
  <si>
    <t>Výška (cm)</t>
  </si>
  <si>
    <t>Váha (kg)</t>
  </si>
  <si>
    <t>BMI</t>
  </si>
  <si>
    <t>BMI nad střední hodnotou</t>
  </si>
  <si>
    <t>žena</t>
  </si>
  <si>
    <t>muž</t>
  </si>
  <si>
    <t>Minimum</t>
  </si>
  <si>
    <t>Maximum</t>
  </si>
  <si>
    <t>Průměr</t>
  </si>
  <si>
    <t>Střední hodnota</t>
  </si>
  <si>
    <t>Výška</t>
  </si>
  <si>
    <t>Váha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</si>
</sst>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5CE"/>
        <bgColor rgb="FF000000"/>
      </patternFill>
    </fill>
    <fill>
      <patternFill patternType="solid">
        <fgColor theme="0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0" fillId="3" borderId="0" xfId="0" applyFill="1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164" fontId="0" fillId="2" borderId="1" xfId="0" applyNumberFormat="1" applyFill="1" applyBorder="1"/>
    <xf numFmtId="0" fontId="0" fillId="0" borderId="5" xfId="0" applyBorder="1" applyAlignment="1">
      <alignment horizontal="left"/>
    </xf>
    <xf numFmtId="0" fontId="0" fillId="2" borderId="6" xfId="0" applyFill="1" applyBorder="1"/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164" fontId="0" fillId="0" borderId="8" xfId="0" applyNumberFormat="1" applyBorder="1" applyAlignment="1">
      <alignment horizontal="left"/>
    </xf>
    <xf numFmtId="164" fontId="0" fillId="2" borderId="8" xfId="0" applyNumberFormat="1" applyFill="1" applyBorder="1"/>
    <xf numFmtId="0" fontId="0" fillId="2" borderId="9" xfId="0" applyFill="1" applyBorder="1"/>
    <xf numFmtId="4" fontId="1" fillId="2" borderId="1" xfId="0" applyNumberFormat="1" applyFont="1" applyFill="1" applyBorder="1"/>
    <xf numFmtId="0" fontId="0" fillId="0" borderId="2" xfId="0" applyBorder="1"/>
    <xf numFmtId="4" fontId="1" fillId="2" borderId="8" xfId="0" applyNumberFormat="1" applyFont="1" applyFill="1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/>
    <xf numFmtId="0" fontId="2" fillId="0" borderId="7" xfId="0" applyFont="1" applyBorder="1"/>
    <xf numFmtId="4" fontId="1" fillId="2" borderId="6" xfId="0" applyNumberFormat="1" applyFont="1" applyFill="1" applyBorder="1"/>
    <xf numFmtId="4" fontId="1" fillId="2" borderId="9" xfId="0" applyNumberFormat="1" applyFont="1" applyFill="1" applyBorder="1"/>
    <xf numFmtId="0" fontId="1" fillId="0" borderId="0" xfId="0" applyFont="1" applyAlignment="1">
      <alignment wrapText="1"/>
    </xf>
    <xf numFmtId="164" fontId="1" fillId="0" borderId="0" xfId="0" applyNumberFormat="1" applyFont="1"/>
    <xf numFmtId="164" fontId="0" fillId="0" borderId="0" xfId="0" applyNumberFormat="1"/>
    <xf numFmtId="0" fontId="2" fillId="0" borderId="4" xfId="0" applyFont="1" applyBorder="1" applyAlignment="1">
      <alignment horizontal="center" vertical="center" wrapText="1"/>
    </xf>
  </cellXfs>
  <cellStyles count="1">
    <cellStyle name="Normální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Váha pacientů</a:t>
            </a:r>
            <a:r>
              <a:rPr lang="cs-CZ" baseline="0"/>
              <a:t> </a:t>
            </a:r>
            <a:endParaRPr lang="cs-C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data!$D$2:$D$23</c:f>
              <c:numCache>
                <c:formatCode>#,##0.0</c:formatCode>
                <c:ptCount val="22"/>
                <c:pt idx="0">
                  <c:v>64.599999999999994</c:v>
                </c:pt>
                <c:pt idx="1">
                  <c:v>103.7</c:v>
                </c:pt>
                <c:pt idx="2">
                  <c:v>68</c:v>
                </c:pt>
                <c:pt idx="3">
                  <c:v>91.4</c:v>
                </c:pt>
                <c:pt idx="4">
                  <c:v>55.1</c:v>
                </c:pt>
                <c:pt idx="5">
                  <c:v>84.3</c:v>
                </c:pt>
                <c:pt idx="6">
                  <c:v>76</c:v>
                </c:pt>
                <c:pt idx="7">
                  <c:v>97.5</c:v>
                </c:pt>
                <c:pt idx="8">
                  <c:v>99.7</c:v>
                </c:pt>
                <c:pt idx="9">
                  <c:v>56.1</c:v>
                </c:pt>
                <c:pt idx="10">
                  <c:v>121.3</c:v>
                </c:pt>
                <c:pt idx="11">
                  <c:v>75.7</c:v>
                </c:pt>
                <c:pt idx="12">
                  <c:v>114.6</c:v>
                </c:pt>
                <c:pt idx="13">
                  <c:v>110.1</c:v>
                </c:pt>
                <c:pt idx="14">
                  <c:v>101.9</c:v>
                </c:pt>
                <c:pt idx="15">
                  <c:v>121</c:v>
                </c:pt>
                <c:pt idx="16">
                  <c:v>76.599999999999994</c:v>
                </c:pt>
                <c:pt idx="17">
                  <c:v>104.5</c:v>
                </c:pt>
                <c:pt idx="18">
                  <c:v>122.4</c:v>
                </c:pt>
                <c:pt idx="19">
                  <c:v>74.7</c:v>
                </c:pt>
                <c:pt idx="20">
                  <c:v>76.900000000000006</c:v>
                </c:pt>
                <c:pt idx="21">
                  <c:v>126.9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59-3D42-A79D-DE06E1825D2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463310784"/>
        <c:axId val="463312576"/>
      </c:barChart>
      <c:catAx>
        <c:axId val="463310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Pacient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63312576"/>
        <c:crosses val="autoZero"/>
        <c:auto val="1"/>
        <c:lblAlgn val="ctr"/>
        <c:lblOffset val="100"/>
        <c:noMultiLvlLbl val="0"/>
      </c:catAx>
      <c:valAx>
        <c:axId val="46331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Váha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63310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31751</xdr:colOff>
      <xdr:row>10</xdr:row>
      <xdr:rowOff>46565</xdr:rowOff>
    </xdr:from>
    <xdr:to>
      <xdr:col>14</xdr:col>
      <xdr:colOff>158751</xdr:colOff>
      <xdr:row>24</xdr:row>
      <xdr:rowOff>112182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1BA8FAFD-6EFB-E2F2-EEF6-39651AC67E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DDF49-B077-3A47-B8DB-141441FA9A60}">
  <dimension ref="A1"/>
  <sheetViews>
    <sheetView workbookViewId="0"/>
  </sheetViews>
  <sheetFormatPr baseColWidth="10" defaultRowHeight="15" x14ac:dyDescent="0.2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zoomScale="120" zoomScaleNormal="120" workbookViewId="0">
      <selection activeCell="E2" sqref="E2:E23"/>
    </sheetView>
  </sheetViews>
  <sheetFormatPr baseColWidth="10" defaultColWidth="8.83203125" defaultRowHeight="15" x14ac:dyDescent="0.2"/>
  <cols>
    <col min="1" max="2" width="9.33203125" bestFit="1" customWidth="1"/>
    <col min="3" max="3" width="12.83203125" bestFit="1" customWidth="1"/>
    <col min="4" max="4" width="11.6640625" bestFit="1" customWidth="1"/>
    <col min="5" max="5" width="18.6640625" bestFit="1" customWidth="1"/>
    <col min="6" max="6" width="14.5" customWidth="1"/>
    <col min="9" max="9" width="10.33203125" bestFit="1" customWidth="1"/>
    <col min="12" max="12" width="12.5" bestFit="1" customWidth="1"/>
  </cols>
  <sheetData>
    <row r="1" spans="1:11" ht="32" x14ac:dyDescent="0.2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26" t="s">
        <v>5</v>
      </c>
    </row>
    <row r="2" spans="1:11" x14ac:dyDescent="0.2">
      <c r="A2" s="6">
        <v>1</v>
      </c>
      <c r="B2" s="3" t="s">
        <v>6</v>
      </c>
      <c r="C2" s="4">
        <v>170.7</v>
      </c>
      <c r="D2" s="4">
        <v>64.599999999999994</v>
      </c>
      <c r="E2" s="5">
        <f>D2/(C2/100)^2</f>
        <v>22.169988904709889</v>
      </c>
      <c r="F2" s="7" t="str">
        <f>IF(E$30&gt;E2,"ne","více")</f>
        <v>ne</v>
      </c>
      <c r="G2" s="2"/>
      <c r="I2" s="1"/>
    </row>
    <row r="3" spans="1:11" x14ac:dyDescent="0.2">
      <c r="A3" s="6">
        <v>2</v>
      </c>
      <c r="B3" s="3" t="s">
        <v>6</v>
      </c>
      <c r="C3" s="4">
        <v>159.80000000000001</v>
      </c>
      <c r="D3" s="4">
        <v>103.7</v>
      </c>
      <c r="E3" s="5">
        <f t="shared" ref="E3:E22" si="0">D3/(C3/100)^2</f>
        <v>40.609272228583599</v>
      </c>
      <c r="F3" s="7" t="str">
        <f t="shared" ref="F3:F23" si="1">IF(E$30&gt;E3,"ne","více")</f>
        <v>více</v>
      </c>
      <c r="I3" s="1"/>
      <c r="J3" s="1"/>
      <c r="K3" s="1"/>
    </row>
    <row r="4" spans="1:11" x14ac:dyDescent="0.2">
      <c r="A4" s="6">
        <v>3</v>
      </c>
      <c r="B4" s="3" t="s">
        <v>6</v>
      </c>
      <c r="C4" s="4">
        <v>183.5</v>
      </c>
      <c r="D4" s="4">
        <v>68</v>
      </c>
      <c r="E4" s="5">
        <f t="shared" si="0"/>
        <v>20.194670685802109</v>
      </c>
      <c r="F4" s="7" t="str">
        <f t="shared" si="1"/>
        <v>ne</v>
      </c>
      <c r="I4" s="1"/>
      <c r="J4" s="24"/>
      <c r="K4" s="1"/>
    </row>
    <row r="5" spans="1:11" x14ac:dyDescent="0.2">
      <c r="A5" s="6">
        <v>4</v>
      </c>
      <c r="B5" s="3" t="s">
        <v>7</v>
      </c>
      <c r="C5" s="4">
        <v>158.19999999999999</v>
      </c>
      <c r="D5" s="4">
        <v>91.4</v>
      </c>
      <c r="E5" s="5">
        <f t="shared" si="0"/>
        <v>36.520207581818859</v>
      </c>
      <c r="F5" s="7" t="str">
        <f t="shared" si="1"/>
        <v>více</v>
      </c>
      <c r="I5" s="1"/>
      <c r="J5" s="1"/>
      <c r="K5" s="1"/>
    </row>
    <row r="6" spans="1:11" x14ac:dyDescent="0.2">
      <c r="A6" s="6">
        <v>5</v>
      </c>
      <c r="B6" s="3" t="s">
        <v>7</v>
      </c>
      <c r="C6" s="4">
        <v>170.3</v>
      </c>
      <c r="D6" s="4">
        <v>55.1</v>
      </c>
      <c r="E6" s="5">
        <f t="shared" si="0"/>
        <v>18.998630788332839</v>
      </c>
      <c r="F6" s="7" t="str">
        <f t="shared" si="1"/>
        <v>ne</v>
      </c>
      <c r="I6" s="1"/>
      <c r="J6" s="1"/>
    </row>
    <row r="7" spans="1:11" x14ac:dyDescent="0.2">
      <c r="A7" s="6">
        <v>6</v>
      </c>
      <c r="B7" s="3" t="s">
        <v>7</v>
      </c>
      <c r="C7" s="4">
        <v>182.4</v>
      </c>
      <c r="D7" s="4">
        <v>84.3</v>
      </c>
      <c r="E7" s="5">
        <f t="shared" si="0"/>
        <v>25.338325253924282</v>
      </c>
      <c r="F7" s="7" t="str">
        <f t="shared" si="1"/>
        <v>ne</v>
      </c>
      <c r="I7" s="23"/>
      <c r="J7" s="1"/>
    </row>
    <row r="8" spans="1:11" x14ac:dyDescent="0.2">
      <c r="A8" s="6">
        <v>7</v>
      </c>
      <c r="B8" s="3" t="s">
        <v>6</v>
      </c>
      <c r="C8" s="4">
        <v>177.8</v>
      </c>
      <c r="D8" s="4">
        <v>76</v>
      </c>
      <c r="E8" s="5">
        <f t="shared" si="0"/>
        <v>24.040864408259427</v>
      </c>
      <c r="F8" s="7" t="str">
        <f t="shared" si="1"/>
        <v>ne</v>
      </c>
    </row>
    <row r="9" spans="1:11" x14ac:dyDescent="0.2">
      <c r="A9" s="6">
        <v>8</v>
      </c>
      <c r="B9" s="3" t="s">
        <v>7</v>
      </c>
      <c r="C9" s="4">
        <v>189.6</v>
      </c>
      <c r="D9" s="4">
        <v>97.5</v>
      </c>
      <c r="E9" s="5">
        <f t="shared" si="0"/>
        <v>27.122389574320355</v>
      </c>
      <c r="F9" s="7" t="str">
        <f t="shared" si="1"/>
        <v>ne</v>
      </c>
    </row>
    <row r="10" spans="1:11" x14ac:dyDescent="0.2">
      <c r="A10" s="6">
        <v>9</v>
      </c>
      <c r="B10" s="3" t="s">
        <v>6</v>
      </c>
      <c r="C10" s="4">
        <v>166.5</v>
      </c>
      <c r="D10" s="4">
        <v>99.7</v>
      </c>
      <c r="E10" s="5">
        <f t="shared" si="0"/>
        <v>35.963891819747673</v>
      </c>
      <c r="F10" s="7" t="str">
        <f t="shared" si="1"/>
        <v>více</v>
      </c>
    </row>
    <row r="11" spans="1:11" x14ac:dyDescent="0.2">
      <c r="A11" s="6">
        <v>10</v>
      </c>
      <c r="B11" s="3" t="s">
        <v>6</v>
      </c>
      <c r="C11" s="4">
        <v>160.6</v>
      </c>
      <c r="D11" s="4">
        <v>56.1</v>
      </c>
      <c r="E11" s="5">
        <f t="shared" si="0"/>
        <v>21.750626929835043</v>
      </c>
      <c r="F11" s="7" t="str">
        <f t="shared" si="1"/>
        <v>ne</v>
      </c>
    </row>
    <row r="12" spans="1:11" x14ac:dyDescent="0.2">
      <c r="A12" s="6">
        <v>11</v>
      </c>
      <c r="B12" s="3" t="s">
        <v>6</v>
      </c>
      <c r="C12" s="4">
        <v>176.5</v>
      </c>
      <c r="D12" s="4">
        <v>121.3</v>
      </c>
      <c r="E12" s="5">
        <f t="shared" si="0"/>
        <v>38.937797430362174</v>
      </c>
      <c r="F12" s="7" t="str">
        <f t="shared" si="1"/>
        <v>více</v>
      </c>
    </row>
    <row r="13" spans="1:11" x14ac:dyDescent="0.2">
      <c r="A13" s="6">
        <v>12</v>
      </c>
      <c r="B13" s="3" t="s">
        <v>6</v>
      </c>
      <c r="C13" s="4">
        <v>173.8</v>
      </c>
      <c r="D13" s="4">
        <v>75.7</v>
      </c>
      <c r="E13" s="5">
        <f t="shared" si="0"/>
        <v>25.060881057152045</v>
      </c>
      <c r="F13" s="7" t="str">
        <f t="shared" si="1"/>
        <v>ne</v>
      </c>
      <c r="K13" s="25"/>
    </row>
    <row r="14" spans="1:11" x14ac:dyDescent="0.2">
      <c r="A14" s="6">
        <v>13</v>
      </c>
      <c r="B14" s="3" t="s">
        <v>6</v>
      </c>
      <c r="C14" s="4">
        <v>186.7</v>
      </c>
      <c r="D14" s="4">
        <v>114.6</v>
      </c>
      <c r="E14" s="5">
        <f t="shared" si="0"/>
        <v>32.8772876754065</v>
      </c>
      <c r="F14" s="7" t="str">
        <f t="shared" si="1"/>
        <v>více</v>
      </c>
    </row>
    <row r="15" spans="1:11" x14ac:dyDescent="0.2">
      <c r="A15" s="6">
        <v>14</v>
      </c>
      <c r="B15" s="3" t="s">
        <v>6</v>
      </c>
      <c r="C15" s="4">
        <v>167.6</v>
      </c>
      <c r="D15" s="4">
        <v>110.1</v>
      </c>
      <c r="E15" s="5">
        <f t="shared" si="0"/>
        <v>39.195778105615709</v>
      </c>
      <c r="F15" s="7" t="str">
        <f t="shared" si="1"/>
        <v>více</v>
      </c>
    </row>
    <row r="16" spans="1:11" x14ac:dyDescent="0.2">
      <c r="A16" s="6">
        <v>15</v>
      </c>
      <c r="B16" s="3" t="s">
        <v>7</v>
      </c>
      <c r="C16" s="4">
        <v>162.6</v>
      </c>
      <c r="D16" s="4">
        <v>101.9</v>
      </c>
      <c r="E16" s="5">
        <f t="shared" si="0"/>
        <v>38.541898334112503</v>
      </c>
      <c r="F16" s="7" t="str">
        <f t="shared" si="1"/>
        <v>více</v>
      </c>
    </row>
    <row r="17" spans="1:6" x14ac:dyDescent="0.2">
      <c r="A17" s="6">
        <v>16</v>
      </c>
      <c r="B17" s="3" t="s">
        <v>7</v>
      </c>
      <c r="C17" s="4">
        <v>172.8</v>
      </c>
      <c r="D17" s="4">
        <v>121</v>
      </c>
      <c r="E17" s="5">
        <f t="shared" si="0"/>
        <v>40.522655178326467</v>
      </c>
      <c r="F17" s="7" t="str">
        <f t="shared" si="1"/>
        <v>více</v>
      </c>
    </row>
    <row r="18" spans="1:6" x14ac:dyDescent="0.2">
      <c r="A18" s="6">
        <v>17</v>
      </c>
      <c r="B18" s="3" t="s">
        <v>7</v>
      </c>
      <c r="C18" s="4">
        <v>161.4</v>
      </c>
      <c r="D18" s="4">
        <v>76.599999999999994</v>
      </c>
      <c r="E18" s="5">
        <f t="shared" si="0"/>
        <v>29.405035554757085</v>
      </c>
      <c r="F18" s="7" t="str">
        <f t="shared" si="1"/>
        <v>ne</v>
      </c>
    </row>
    <row r="19" spans="1:6" x14ac:dyDescent="0.2">
      <c r="A19" s="6">
        <v>18</v>
      </c>
      <c r="B19" s="3" t="s">
        <v>7</v>
      </c>
      <c r="C19" s="4">
        <v>182.7</v>
      </c>
      <c r="D19" s="4">
        <v>104.5</v>
      </c>
      <c r="E19" s="5">
        <f t="shared" si="0"/>
        <v>31.30683726346486</v>
      </c>
      <c r="F19" s="7" t="str">
        <f t="shared" si="1"/>
        <v>více</v>
      </c>
    </row>
    <row r="20" spans="1:6" x14ac:dyDescent="0.2">
      <c r="A20" s="6">
        <v>19</v>
      </c>
      <c r="B20" s="3" t="s">
        <v>6</v>
      </c>
      <c r="C20" s="4">
        <v>164.8</v>
      </c>
      <c r="D20" s="4">
        <v>122.4</v>
      </c>
      <c r="E20" s="5">
        <f t="shared" si="0"/>
        <v>45.06786690545762</v>
      </c>
      <c r="F20" s="7" t="str">
        <f>IF(E$30&gt;E20,"ne","více")</f>
        <v>více</v>
      </c>
    </row>
    <row r="21" spans="1:6" x14ac:dyDescent="0.2">
      <c r="A21" s="6">
        <v>20</v>
      </c>
      <c r="B21" s="3" t="s">
        <v>7</v>
      </c>
      <c r="C21" s="4">
        <v>173.3</v>
      </c>
      <c r="D21" s="4">
        <v>74.7</v>
      </c>
      <c r="E21" s="5">
        <f t="shared" si="0"/>
        <v>24.87273119569911</v>
      </c>
      <c r="F21" s="7" t="str">
        <f t="shared" si="1"/>
        <v>ne</v>
      </c>
    </row>
    <row r="22" spans="1:6" x14ac:dyDescent="0.2">
      <c r="A22" s="6">
        <v>21</v>
      </c>
      <c r="B22" s="3" t="s">
        <v>7</v>
      </c>
      <c r="C22" s="4">
        <v>158.1</v>
      </c>
      <c r="D22" s="4">
        <v>76.900000000000006</v>
      </c>
      <c r="E22" s="5">
        <f t="shared" si="0"/>
        <v>30.765402404662261</v>
      </c>
      <c r="F22" s="7" t="str">
        <f t="shared" si="1"/>
        <v>ne</v>
      </c>
    </row>
    <row r="23" spans="1:6" ht="16" thickBot="1" x14ac:dyDescent="0.25">
      <c r="A23" s="8">
        <v>22</v>
      </c>
      <c r="B23" s="9" t="s">
        <v>6</v>
      </c>
      <c r="C23" s="10">
        <v>174.5</v>
      </c>
      <c r="D23" s="10">
        <v>126.9</v>
      </c>
      <c r="E23" s="11">
        <f>D23/(C23/100)^2</f>
        <v>41.674534691833401</v>
      </c>
      <c r="F23" s="12" t="str">
        <f t="shared" si="1"/>
        <v>více</v>
      </c>
    </row>
    <row r="26" spans="1:6" ht="16" thickBot="1" x14ac:dyDescent="0.25"/>
    <row r="27" spans="1:6" x14ac:dyDescent="0.2">
      <c r="A27" s="14"/>
      <c r="B27" s="17" t="s">
        <v>8</v>
      </c>
      <c r="C27" s="17" t="s">
        <v>9</v>
      </c>
      <c r="D27" s="17" t="s">
        <v>10</v>
      </c>
      <c r="E27" s="18" t="s">
        <v>11</v>
      </c>
    </row>
    <row r="28" spans="1:6" x14ac:dyDescent="0.2">
      <c r="A28" s="19" t="s">
        <v>12</v>
      </c>
      <c r="B28" s="13">
        <f>MIN(C2:C23)</f>
        <v>158.1</v>
      </c>
      <c r="C28" s="13">
        <f>MAX(C2:C23)</f>
        <v>189.6</v>
      </c>
      <c r="D28" s="13">
        <f>AVERAGE(C2:C23)</f>
        <v>171.55454545454543</v>
      </c>
      <c r="E28" s="21">
        <f>MEDIAN(C2:C23)</f>
        <v>171.75</v>
      </c>
    </row>
    <row r="29" spans="1:6" x14ac:dyDescent="0.2">
      <c r="A29" s="19" t="s">
        <v>13</v>
      </c>
      <c r="B29" s="13">
        <f>MIN(D2:D23)</f>
        <v>55.1</v>
      </c>
      <c r="C29" s="13">
        <f>MAX(D2:D23)</f>
        <v>126.9</v>
      </c>
      <c r="D29" s="13">
        <f>AVERAGE(D2:D23)</f>
        <v>91.954545454545482</v>
      </c>
      <c r="E29" s="21">
        <f>MEDIAN(D2:D23)</f>
        <v>94.45</v>
      </c>
    </row>
    <row r="30" spans="1:6" ht="16" thickBot="1" x14ac:dyDescent="0.25">
      <c r="A30" s="20" t="s">
        <v>4</v>
      </c>
      <c r="B30" s="15">
        <f>MIN(E2:E23)</f>
        <v>18.998630788332839</v>
      </c>
      <c r="C30" s="15">
        <f>MAX(E2:E23)</f>
        <v>45.06786690545762</v>
      </c>
      <c r="D30" s="15">
        <f>AVERAGE(E2:E23)</f>
        <v>31.406253362371999</v>
      </c>
      <c r="E30" s="22">
        <f>MEDIAN(E2:E23)</f>
        <v>31.036119834063562</v>
      </c>
    </row>
  </sheetData>
  <conditionalFormatting sqref="E2:E23">
    <cfRule type="cellIs" dxfId="2" priority="1" operator="lessThan">
      <formula>16</formula>
    </cfRule>
    <cfRule type="cellIs" dxfId="3" priority="2" operator="greaterThan">
      <formula>25</formula>
    </cfRule>
  </conditionalFormatting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Listy</vt:lpstr>
      </vt:variant>
      <vt:variant>
        <vt:i4>2</vt:i4>
      </vt:variant>
      <vt:variant>
        <vt:lpstr>Pojmenované oblasti</vt:lpstr>
      </vt:variant>
      <vt:variant>
        <vt:i4>2</vt:i4>
      </vt:variant>
    </vt:vector>
  </HeadingPairs>
  <TitlesOfParts>
    <vt:vector size="4" baseType="lpstr">
      <vt:lpstr>zdroj</vt:lpstr>
      <vt:lpstr>data</vt:lpstr>
      <vt:lpstr>hodnota</vt:lpstr>
      <vt:lpstr>pole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Adam Vaněček</cp:lastModifiedBy>
  <dcterms:created xsi:type="dcterms:W3CDTF">2025-11-12T19:05:39Z</dcterms:created>
  <dcterms:modified xsi:type="dcterms:W3CDTF">2026-02-16T10:59:08Z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dividualWorkKey">
    <vt:lpwstr>23_fb750</vt:lpwstr>
  </property>
</Properties>
</file>